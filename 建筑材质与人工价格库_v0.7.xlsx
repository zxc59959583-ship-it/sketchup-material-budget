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建筑材质插件\outputs\v0.7.0\"/>
    </mc:Choice>
  </mc:AlternateContent>
  <bookViews>
    <workbookView windowWidth="30720" windowHeight="12935"/>
  </bookViews>
  <sheets>
    <sheet name="价格库" sheetId="1" r:id="rId1"/>
    <sheet name="2026人工价参考" sheetId="2" r:id="rId2"/>
    <sheet name="使用说明"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<sst xmlns="http://schemas.openxmlformats.org/spreadsheetml/2006/main" count="489" uniqueCount="208">
  <si>
    <t>标准编码</t>
  </si>
  <si>
    <t>分类</t>
  </si>
  <si>
    <t>标准材质名称</t>
  </si>
  <si>
    <t>别名（|分隔）</t>
  </si>
  <si>
    <t>单位</t>
  </si>
  <si>
    <t>材料单价(元/㎡)</t>
  </si>
  <si>
    <t>人工单价(元/㎡)</t>
  </si>
  <si>
    <t>机械单价(元/㎡)</t>
  </si>
  <si>
    <t>管理费(元/㎡)</t>
  </si>
  <si>
    <t>利润(元/㎡)</t>
  </si>
  <si>
    <t>综合单价(元/㎡)</t>
  </si>
  <si>
    <t>来源清单编码</t>
  </si>
  <si>
    <t>地区</t>
  </si>
  <si>
    <t>价格日期</t>
  </si>
  <si>
    <t>来源页码</t>
  </si>
  <si>
    <t>来源URL</t>
  </si>
  <si>
    <t>备注</t>
  </si>
  <si>
    <t>FLOOR-001</t>
  </si>
  <si>
    <t>楼地面</t>
  </si>
  <si>
    <t>地砖（600×600防滑地砖）</t>
  </si>
  <si>
    <t>地砖|瓷砖|防滑地砖|600x600地砖|600×600地砖</t>
  </si>
  <si>
    <t>㎡</t>
  </si>
  <si>
    <t>011102003001</t>
  </si>
  <si>
    <t>江苏省江阴市</t>
  </si>
  <si>
    <t>2025-08</t>
  </si>
  <si>
    <t>https://www.jiangyin.gov.cn/uploadfiles/202508/08/2025080809084051620658.pdf</t>
  </si>
  <si>
    <t>政府公开项目已标价预算中的清单单价组成；仅作参考，使用前按项目所在地和时间调整。</t>
  </si>
  <si>
    <t>WALL-001</t>
  </si>
  <si>
    <t>墙面</t>
  </si>
  <si>
    <t>墙砖（块料墙面）</t>
  </si>
  <si>
    <t>墙砖|瓷砖墙面|块料墙面|釉面砖</t>
  </si>
  <si>
    <t>011204003001</t>
  </si>
  <si>
    <t>FLOOR-002</t>
  </si>
  <si>
    <t>天然石材楼地面</t>
  </si>
  <si>
    <t>石材|大理石地面|花岗岩地面|石材楼地面</t>
  </si>
  <si>
    <t>011102001007</t>
  </si>
  <si>
    <t>FLOOR-003</t>
  </si>
  <si>
    <t>竹木复合地板</t>
  </si>
  <si>
    <t>木地板|复合木地板|强化复合地板|竹木地板</t>
  </si>
  <si>
    <t>011104002001</t>
  </si>
  <si>
    <t>FLOOR-004</t>
  </si>
  <si>
    <t>防静电活动地板</t>
  </si>
  <si>
    <t>防静电地板|架空地板|活动地板</t>
  </si>
  <si>
    <t>011104004001</t>
  </si>
  <si>
    <t>FLOOR-005</t>
  </si>
  <si>
    <t>水泥砂浆楼地面</t>
  </si>
  <si>
    <t>水泥地面|水泥砂浆地面|砂浆地面</t>
  </si>
  <si>
    <t>011101001002</t>
  </si>
  <si>
    <t>FLOOR-006</t>
  </si>
  <si>
    <t>细石混凝土楼地面</t>
  </si>
  <si>
    <t>细石混凝土地面|混凝土地面|耐磨混凝土地面</t>
  </si>
  <si>
    <t>011101003002</t>
  </si>
  <si>
    <t>WALL-002</t>
  </si>
  <si>
    <t>墙面一般抹灰</t>
  </si>
  <si>
    <t>墙面抹灰|水泥砂浆墙面|抹灰墙面</t>
  </si>
  <si>
    <t>011201001002</t>
  </si>
  <si>
    <t>WALL-003</t>
  </si>
  <si>
    <t>墙面涂料</t>
  </si>
  <si>
    <t>乳胶漆|墙面乳胶漆|墙漆|墙面喷刷涂料</t>
  </si>
  <si>
    <t>011407001001</t>
  </si>
  <si>
    <t>WALL-004</t>
  </si>
  <si>
    <t>墙面装饰板</t>
  </si>
  <si>
    <t>木饰面|装饰板|护墙板|墙面饰面板</t>
  </si>
  <si>
    <t>011207001001</t>
  </si>
  <si>
    <t>CEIL-001</t>
  </si>
  <si>
    <t>天棚</t>
  </si>
  <si>
    <t>石膏板吊顶</t>
  </si>
  <si>
    <t>吊顶|石膏板天棚|轻钢龙骨石膏板|吊顶天棚</t>
  </si>
  <si>
    <t>011302001002</t>
  </si>
  <si>
    <t>CEIL-002</t>
  </si>
  <si>
    <t>天棚抹灰</t>
  </si>
  <si>
    <t>顶棚抹灰|天花抹灰|天棚一般抹灰</t>
  </si>
  <si>
    <t>011301001001</t>
  </si>
  <si>
    <t>CEIL-003</t>
  </si>
  <si>
    <t>天棚涂料</t>
  </si>
  <si>
    <t>天棚乳胶漆|顶棚乳胶漆|天花涂料|天棚喷刷涂料</t>
  </si>
  <si>
    <t>011407002001</t>
  </si>
  <si>
    <t>WATER-001</t>
  </si>
  <si>
    <t>防水</t>
  </si>
  <si>
    <t>聚氨酯涂膜防水2.0mm</t>
  </si>
  <si>
    <t>聚氨酯防水|涂膜防水|屋面涂膜防水</t>
  </si>
  <si>
    <t>010902002001</t>
  </si>
  <si>
    <t>WATER-002</t>
  </si>
  <si>
    <t>SBS改性沥青卷材防水（双层）</t>
  </si>
  <si>
    <t>SBS防水卷材|卷材防水|屋面卷材防水</t>
  </si>
  <si>
    <t>010902001001</t>
  </si>
  <si>
    <t>WATER-003</t>
  </si>
  <si>
    <t>JS-Ⅱ型聚合物水泥防水</t>
  </si>
  <si>
    <t>JS防水|聚合物水泥防水|墙面涂膜防水|地面涂膜防水</t>
  </si>
  <si>
    <t>010903002002</t>
  </si>
  <si>
    <t>INSUL-001</t>
  </si>
  <si>
    <t>保温</t>
  </si>
  <si>
    <t>保温隔热屋面</t>
  </si>
  <si>
    <t>屋面保温|挤塑板屋面|XPS屋面保温</t>
  </si>
  <si>
    <t>011001001001</t>
  </si>
  <si>
    <t>INSUL-002</t>
  </si>
  <si>
    <t>保温隔热墙面</t>
  </si>
  <si>
    <t>墙面保温|外墙保温|保温墙面</t>
  </si>
  <si>
    <t>011001003002</t>
  </si>
  <si>
    <t>DOOR-001</t>
  </si>
  <si>
    <t>门窗</t>
  </si>
  <si>
    <t>木质防火门</t>
  </si>
  <si>
    <t>木防火门|防火木门|木质防火门</t>
  </si>
  <si>
    <t>010801004001</t>
  </si>
  <si>
    <t>DOOR-002</t>
  </si>
  <si>
    <t>钢质防火门</t>
  </si>
  <si>
    <t>钢防火门|防火钢门|钢质防火门</t>
  </si>
  <si>
    <t>010802003001</t>
  </si>
  <si>
    <t>DOOR-003</t>
  </si>
  <si>
    <t>金属卷帘门</t>
  </si>
  <si>
    <t>卷帘门|防火卷帘|金属卷帘门</t>
  </si>
  <si>
    <t>010803001001</t>
  </si>
  <si>
    <t>STONE-001</t>
  </si>
  <si>
    <t>石材</t>
  </si>
  <si>
    <t>石材窗台板</t>
  </si>
  <si>
    <t>窗台石|大理石窗台|花岗岩窗台|石材窗台板</t>
  </si>
  <si>
    <t>010809004002</t>
  </si>
  <si>
    <t>项目编码</t>
  </si>
  <si>
    <t>人工工作项目</t>
  </si>
  <si>
    <t>工程量计算规则</t>
  </si>
  <si>
    <t>价格期</t>
  </si>
  <si>
    <t>03021</t>
  </si>
  <si>
    <t>屋面</t>
  </si>
  <si>
    <t>轻质混凝土保温层</t>
  </si>
  <si>
    <t>按实际铺设面积</t>
  </si>
  <si>
    <t>陕西省宝鸡市</t>
  </si>
  <si>
    <t>2026年第二季度</t>
  </si>
  <si>
    <t>https://zjj.baoji.gov.cn/col1025/col1078/202606/P020260605549308610374.pdf</t>
  </si>
  <si>
    <t>03022</t>
  </si>
  <si>
    <t>聚苯板、挤塑板、塑料板保温层</t>
  </si>
  <si>
    <t>07001</t>
  </si>
  <si>
    <t>卷材防水层（平面）</t>
  </si>
  <si>
    <t>按实际面积</t>
  </si>
  <si>
    <t>07002</t>
  </si>
  <si>
    <t>卷材防水层（立面）</t>
  </si>
  <si>
    <t>07003</t>
  </si>
  <si>
    <t>涂膜防水层（平面）</t>
  </si>
  <si>
    <t>07004</t>
  </si>
  <si>
    <t>涂膜防水层（立面）</t>
  </si>
  <si>
    <t>08001</t>
  </si>
  <si>
    <t>抹灰</t>
  </si>
  <si>
    <t>内墙面一般抹灰</t>
  </si>
  <si>
    <t>按实际抹灰面积</t>
  </si>
  <si>
    <t>08002</t>
  </si>
  <si>
    <t>外墙面一般抹灰</t>
  </si>
  <si>
    <t>08003</t>
  </si>
  <si>
    <t>天棚一般抹灰</t>
  </si>
  <si>
    <t>08010</t>
  </si>
  <si>
    <t>水泥砂浆找平层</t>
  </si>
  <si>
    <t>08011</t>
  </si>
  <si>
    <t>08018</t>
  </si>
  <si>
    <t>内墙贴面砖</t>
  </si>
  <si>
    <t>按实际铺贴面积</t>
  </si>
  <si>
    <t>08019</t>
  </si>
  <si>
    <t>外墙贴面砖</t>
  </si>
  <si>
    <t>08021</t>
  </si>
  <si>
    <t>挂贴天然石材墙面</t>
  </si>
  <si>
    <t>08023</t>
  </si>
  <si>
    <t>干挂天然石材墙面</t>
  </si>
  <si>
    <t>08026</t>
  </si>
  <si>
    <t>铺地砖、缸砖楼地面</t>
  </si>
  <si>
    <t>08029</t>
  </si>
  <si>
    <t>铺天然石材楼地面</t>
  </si>
  <si>
    <t>09007</t>
  </si>
  <si>
    <t>铺硬木地板</t>
  </si>
  <si>
    <t>09009</t>
  </si>
  <si>
    <t>成品强化复合木地板安装</t>
  </si>
  <si>
    <t>含踢脚线及收口条</t>
  </si>
  <si>
    <t>09014</t>
  </si>
  <si>
    <t>隔墙</t>
  </si>
  <si>
    <t>隔墙龙骨铺贴纸面石膏板面层</t>
  </si>
  <si>
    <t>09019</t>
  </si>
  <si>
    <t>天棚U型轻钢龙骨安装</t>
  </si>
  <si>
    <t>按主墙间净空面积</t>
  </si>
  <si>
    <t>09022</t>
  </si>
  <si>
    <t>天棚纸面石膏板面层</t>
  </si>
  <si>
    <t>09025</t>
  </si>
  <si>
    <t>天棚铝质面板面层</t>
  </si>
  <si>
    <t>10020</t>
  </si>
  <si>
    <t>油漆</t>
  </si>
  <si>
    <t>内墙面刷乳胶漆</t>
  </si>
  <si>
    <t>满刮腻子一遍、二遍涂料成活</t>
  </si>
  <si>
    <t>10022</t>
  </si>
  <si>
    <t>天棚面刷乳胶漆</t>
  </si>
  <si>
    <t>12021</t>
  </si>
  <si>
    <t>幕墙</t>
  </si>
  <si>
    <t>铝塑板幕墙安装（含龙骨）</t>
  </si>
  <si>
    <t>12022</t>
  </si>
  <si>
    <t>玻璃幕墙安装（含龙骨）</t>
  </si>
  <si>
    <t>B12034</t>
  </si>
  <si>
    <t>石材幕墙安装（含龙骨）</t>
  </si>
  <si>
    <t>SketchUp 材质实时预算 v0.7 · 价格库使用说明</t>
  </si>
  <si>
    <t>用途</t>
  </si>
  <si>
    <t>“价格库”工作表可直接由 v0.7 插件导入；插件按“标准材质名称+别名”匹配 SketchUp 材质。</t>
  </si>
  <si>
    <t>价格口径</t>
  </si>
  <si>
    <t>材料、人工、机械、管理费、利润均为元/㎡；综合单价由前五项自动求和。</t>
  </si>
  <si>
    <t>主数据来源</t>
  </si>
  <si>
    <t>江苏省江阴市政府公开的华士镇印染集聚区配套项目已标价建筑工程预算表，发布日期为2025年8月。</t>
  </si>
  <si>
    <t>人工参考</t>
  </si>
  <si>
    <t>“2026人工价参考”摘录宝鸡市2026年第二季度建筑工程实物量人工成本信息表，仅用于横向校准。</t>
  </si>
  <si>
    <t>使用限制</t>
  </si>
  <si>
    <t>不同地区、品牌、规格、施工条件及税运口径会造成明显差异；投标、结算前必须替换为当地当期询价或造价信息。</t>
  </si>
  <si>
    <t>导入要求</t>
  </si>
  <si>
    <t>不要删除必需列：标准编码、分类、标准材质名称、别名、材料单价、人工单价；别名请用英文竖线 | 分隔。</t>
  </si>
  <si>
    <t>匹配建议</t>
  </si>
  <si>
    <t>让SU材质名称直接采用标准名称，或把现有名称填入别名列，可减少“未匹配”。</t>
  </si>
  <si>
    <t>数据日期</t>
  </si>
  <si>
    <t>2026-09-03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</si>
</sst>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name val="Carlito"/>
      <charset val="134"/>
    </font>
    <font>
      <b/>
      <sz val="11"/>
      <color rgb="FFFFFFFF"/>
      <name val="Carlito"/>
      <charset val="134"/>
    </font>
    <font>
      <b/>
      <sz val="11"/>
      <color rgb="FF164E63"/>
      <name val="Carlito"/>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0F4C5C"/>
        <bgColor indexed="64"/>
      </patternFill>
    </fill>
    <fill>
      <patternFill patternType="solid">
        <fgColor rgb="FFE4F1F4"/>
        <bgColor indexed="64"/>
      </patternFill>
    </fill>
    <fill>
      <patternFill patternType="solid">
        <fgColor rgb="FF155E7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right/>
      <top/>
      <bottom style="thin">
        <color rgb="FFD7E2E8"/>
      </bottom>
      <diagonal/>
    </border>
    <border>
      <left/>
      <right/>
      <top style="thin">
        <color rgb="FFD7E2E8"/>
      </top>
      <bottom style="thin">
        <color rgb="FFD7E2E8"/>
      </bottom>
      <diagonal/>
    </border>
    <border>
      <left/>
      <right/>
      <top style="thin">
        <color rgb="FFD7E2E8"/>
      </top>
      <bottom/>
      <diagonal/>
    </border>
    <border>
      <left style="medium">
        <color rgb="FF0E4F63"/>
      </left>
      <right/>
      <top style="medium">
        <color rgb="FF0E4F63"/>
      </top>
      <bottom style="medium">
        <color rgb="FF0E4F63"/>
      </bottom>
      <diagonal/>
    </border>
    <border>
      <left/>
      <right/>
      <top style="medium">
        <color rgb="FF0E4F63"/>
      </top>
      <bottom style="medium">
        <color rgb="FF0E4F63"/>
      </bottom>
      <diagonal/>
    </border>
    <border>
      <left/>
      <right style="medium">
        <color rgb="FF0E4F63"/>
      </right>
      <top style="medium">
        <color rgb="FF0E4F63"/>
      </top>
      <bottom style="medium">
        <color rgb="FF0E4F63"/>
      </bottom>
      <diagonal/>
    </border>
    <border>
      <left/>
      <right/>
      <top/>
      <bottom style="thin">
        <color rgb="FFDCE7EC"/>
      </bottom>
      <diagonal/>
    </border>
    <border>
      <left/>
      <right/>
      <top style="thin">
        <color rgb="FFDCE7EC"/>
      </top>
      <bottom style="thin">
        <color rgb="FFDCE7EC"/>
      </bottom>
      <diagonal/>
    </border>
    <border>
      <left/>
      <right/>
      <top style="thin">
        <color rgb="FFDCE7EC"/>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3"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5" borderId="10"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11" applyNumberFormat="0" applyFill="0" applyAlignment="0" applyProtection="0">
      <alignment vertical="center"/>
    </xf>
    <xf numFmtId="0" fontId="10" fillId="0" borderId="11" applyNumberFormat="0" applyFill="0" applyAlignment="0" applyProtection="0">
      <alignment vertical="center"/>
    </xf>
    <xf numFmtId="0" fontId="11" fillId="0" borderId="12" applyNumberFormat="0" applyFill="0" applyAlignment="0" applyProtection="0">
      <alignment vertical="center"/>
    </xf>
    <xf numFmtId="0" fontId="11" fillId="0" borderId="0" applyNumberFormat="0" applyFill="0" applyBorder="0" applyAlignment="0" applyProtection="0">
      <alignment vertical="center"/>
    </xf>
    <xf numFmtId="0" fontId="12" fillId="6" borderId="13" applyNumberFormat="0" applyAlignment="0" applyProtection="0">
      <alignment vertical="center"/>
    </xf>
    <xf numFmtId="0" fontId="13" fillId="7" borderId="14" applyNumberFormat="0" applyAlignment="0" applyProtection="0">
      <alignment vertical="center"/>
    </xf>
    <xf numFmtId="0" fontId="14" fillId="7" borderId="13" applyNumberFormat="0" applyAlignment="0" applyProtection="0">
      <alignment vertical="center"/>
    </xf>
    <xf numFmtId="0" fontId="15" fillId="8" borderId="15" applyNumberFormat="0" applyAlignment="0" applyProtection="0">
      <alignment vertical="center"/>
    </xf>
    <xf numFmtId="0" fontId="16" fillId="0" borderId="16" applyNumberFormat="0" applyFill="0" applyAlignment="0" applyProtection="0">
      <alignment vertical="center"/>
    </xf>
    <xf numFmtId="0" fontId="17" fillId="0" borderId="17" applyNumberFormat="0" applyFill="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2" fillId="33" borderId="0" applyNumberFormat="0" applyBorder="0" applyAlignment="0" applyProtection="0">
      <alignment vertical="center"/>
    </xf>
    <xf numFmtId="0" fontId="22" fillId="34" borderId="0" applyNumberFormat="0" applyBorder="0" applyAlignment="0" applyProtection="0">
      <alignment vertical="center"/>
    </xf>
    <xf numFmtId="0" fontId="21" fillId="35" borderId="0" applyNumberFormat="0" applyBorder="0" applyAlignment="0" applyProtection="0">
      <alignment vertical="center"/>
    </xf>
    <xf numFmtId="0" fontId="0" fillId="0" borderId="0"/>
  </cellStyleXfs>
  <cellXfs count="26">
    <xf numFmtId="0" fontId="0" fillId="0" borderId="0" xfId="49"/>
    <xf numFmtId="0" fontId="1" fillId="2" borderId="0" xfId="49" applyNumberFormat="1" applyFont="1" applyFill="1" applyBorder="1" applyAlignment="1">
      <alignment horizontal="left" vertical="center"/>
    </xf>
    <xf numFmtId="0" fontId="2" fillId="3" borderId="1" xfId="49" applyNumberFormat="1" applyFont="1" applyFill="1" applyBorder="1" applyAlignment="1">
      <alignment vertical="top"/>
    </xf>
    <xf numFmtId="0" fontId="0" fillId="0" borderId="1" xfId="49" applyNumberFormat="1" applyFont="1" applyFill="1" applyBorder="1" applyAlignment="1">
      <alignment vertical="top" wrapText="1"/>
    </xf>
    <xf numFmtId="0" fontId="2" fillId="3" borderId="2" xfId="49" applyNumberFormat="1" applyFont="1" applyFill="1" applyBorder="1" applyAlignment="1">
      <alignment vertical="top"/>
    </xf>
    <xf numFmtId="0" fontId="0" fillId="0" borderId="2" xfId="49" applyNumberFormat="1" applyFont="1" applyFill="1" applyBorder="1" applyAlignment="1">
      <alignment vertical="top" wrapText="1"/>
    </xf>
    <xf numFmtId="0" fontId="2" fillId="3" borderId="3" xfId="49" applyNumberFormat="1" applyFont="1" applyFill="1" applyBorder="1" applyAlignment="1">
      <alignment vertical="top"/>
    </xf>
    <xf numFmtId="0" fontId="0" fillId="0" borderId="3" xfId="49" applyNumberFormat="1" applyFont="1" applyFill="1" applyBorder="1" applyAlignment="1">
      <alignment vertical="top" wrapText="1"/>
    </xf>
    <xf numFmtId="0" fontId="1" fillId="4" borderId="0" xfId="49" applyNumberFormat="1" applyFont="1" applyFill="1" applyBorder="1" applyAlignment="1">
      <alignment vertical="center" wrapText="1"/>
    </xf>
    <xf numFmtId="0" fontId="0" fillId="0" borderId="0" xfId="49" applyNumberFormat="1" applyFont="1" applyFill="1" applyBorder="1" applyAlignment="1">
      <alignment wrapText="1"/>
    </xf>
    <xf numFmtId="4" fontId="0" fillId="0" borderId="0" xfId="49" applyNumberFormat="1" applyFont="1" applyFill="1" applyBorder="1"/>
    <xf numFmtId="0" fontId="1" fillId="4" borderId="4" xfId="49" applyNumberFormat="1" applyFont="1" applyFill="1" applyBorder="1" applyAlignment="1">
      <alignment vertical="center" wrapText="1"/>
    </xf>
    <xf numFmtId="0" fontId="1" fillId="4" borderId="5" xfId="49" applyNumberFormat="1" applyFont="1" applyFill="1" applyBorder="1" applyAlignment="1">
      <alignment vertical="center" wrapText="1"/>
    </xf>
    <xf numFmtId="0" fontId="1" fillId="4" borderId="6" xfId="49" applyNumberFormat="1" applyFont="1" applyFill="1" applyBorder="1" applyAlignment="1">
      <alignment vertical="center" wrapText="1"/>
    </xf>
    <xf numFmtId="0" fontId="0" fillId="0" borderId="7" xfId="49" applyNumberFormat="1" applyFont="1" applyFill="1" applyBorder="1" applyAlignment="1">
      <alignment vertical="center"/>
    </xf>
    <xf numFmtId="0" fontId="0" fillId="0" borderId="7" xfId="49" applyNumberFormat="1" applyFont="1" applyFill="1" applyBorder="1" applyAlignment="1">
      <alignment vertical="center" wrapText="1"/>
    </xf>
    <xf numFmtId="4" fontId="0" fillId="0" borderId="7" xfId="49" applyNumberFormat="1" applyFont="1" applyFill="1" applyBorder="1" applyAlignment="1">
      <alignment horizontal="right" vertical="center"/>
    </xf>
    <xf numFmtId="1" fontId="0" fillId="0" borderId="7" xfId="49" applyNumberFormat="1" applyFont="1" applyFill="1" applyBorder="1" applyAlignment="1">
      <alignment vertical="center"/>
    </xf>
    <xf numFmtId="0" fontId="0" fillId="0" borderId="8" xfId="49" applyNumberFormat="1" applyFont="1" applyFill="1" applyBorder="1" applyAlignment="1">
      <alignment vertical="center"/>
    </xf>
    <xf numFmtId="0" fontId="0" fillId="0" borderId="8" xfId="49" applyNumberFormat="1" applyFont="1" applyFill="1" applyBorder="1" applyAlignment="1">
      <alignment vertical="center" wrapText="1"/>
    </xf>
    <xf numFmtId="4" fontId="0" fillId="0" borderId="8" xfId="49" applyNumberFormat="1" applyFont="1" applyFill="1" applyBorder="1" applyAlignment="1">
      <alignment horizontal="right" vertical="center"/>
    </xf>
    <xf numFmtId="1" fontId="0" fillId="0" borderId="8" xfId="49" applyNumberFormat="1" applyFont="1" applyFill="1" applyBorder="1" applyAlignment="1">
      <alignment vertical="center"/>
    </xf>
    <xf numFmtId="0" fontId="0" fillId="0" borderId="9" xfId="49" applyNumberFormat="1" applyFont="1" applyFill="1" applyBorder="1" applyAlignment="1">
      <alignment vertical="center"/>
    </xf>
    <xf numFmtId="0" fontId="0" fillId="0" borderId="9" xfId="49" applyNumberFormat="1" applyFont="1" applyFill="1" applyBorder="1" applyAlignment="1">
      <alignment vertical="center" wrapText="1"/>
    </xf>
    <xf numFmtId="4" fontId="0" fillId="0" borderId="9" xfId="49" applyNumberFormat="1" applyFont="1" applyFill="1" applyBorder="1" applyAlignment="1">
      <alignment horizontal="right" vertical="center"/>
    </xf>
    <xf numFmtId="1" fontId="0" fillId="0" borderId="9" xfId="49" applyNumberFormat="1" applyFont="1" applyFill="1" applyBorder="1" applyAlignment="1">
      <alignmen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MaterialPriceLibrary" displayName="MaterialPriceLibrary" ref="A1:Q23" totalsRowShown="0">
  <autoFilter xmlns:etc="http://www.wps.cn/officeDocument/2017/etCustomData" ref="A1:Q23" etc:filterBottomFollowUsedRange="0"/>
  <tableColumns count="17">
    <tableColumn id="1" name="标准编码"/>
    <tableColumn id="2" name="分类"/>
    <tableColumn id="3" name="标准材质名称"/>
    <tableColumn id="4" name="别名（|分隔）"/>
    <tableColumn id="5" name="单位"/>
    <tableColumn id="6" name="材料单价(元/㎡)"/>
    <tableColumn id="7" name="人工单价(元/㎡)"/>
    <tableColumn id="8" name="机械单价(元/㎡)"/>
    <tableColumn id="9" name="管理费(元/㎡)"/>
    <tableColumn id="10" name="利润(元/㎡)"/>
    <tableColumn id="11" name="综合单价(元/㎡)"/>
    <tableColumn id="12" name="来源清单编码"/>
    <tableColumn id="13" name="地区"/>
    <tableColumn id="14" name="价格日期"/>
    <tableColumn id="15" name="来源页码"/>
    <tableColumn id="16" name="来源URL"/>
    <tableColumn id="17" name="备注"/>
  </tableColumns>
  <tableStyleInfo name="TableStyleMedium2" showFirstColumn="0" showLastColumn="0" showRowStripes="1" showColumnStripes="0"/>
</table>
</file>

<file path=xl/tables/table2.xml><?xml version="1.0" encoding="utf-8"?>
<table xmlns="http://schemas.openxmlformats.org/spreadsheetml/2006/main" id="2" name="LaborPriceReference" displayName="LaborPriceReference" ref="A1:J29" totalsRowShown="0">
  <tableColumns count="10">
    <tableColumn id="1" name="项目编码"/>
    <tableColumn id="2" name="分类"/>
    <tableColumn id="3" name="人工工作项目"/>
    <tableColumn id="4" name="工程量计算规则"/>
    <tableColumn id="5" name="单位"/>
    <tableColumn id="6" name="人工单价(元/㎡)"/>
    <tableColumn id="7" name="地区"/>
    <tableColumn id="8" name="价格期"/>
    <tableColumn id="9" name="来源页码"/>
    <tableColumn id="10" name="来源URL"/>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3"/>
  <sheetViews>
    <sheetView showGridLines="0" tabSelected="1" workbookViewId="0">
      <selection activeCell="A9" sqref="A9"/>
    </sheetView>
  </sheetViews>
  <sheetFormatPr defaultColWidth="9" defaultRowHeight="13.8"/>
  <cols>
    <col min="1" max="1" width="13" customWidth="1"/>
    <col min="2" max="2" width="10" customWidth="1"/>
    <col min="3" max="3" width="24" customWidth="1"/>
    <col min="4" max="4" width="38" customWidth="1"/>
    <col min="5" max="5" width="8" customWidth="1"/>
    <col min="6" max="8" width="15" customWidth="1"/>
    <col min="9" max="9" width="14" customWidth="1"/>
    <col min="10" max="10" width="13" customWidth="1"/>
    <col min="11" max="11" width="16" customWidth="1"/>
    <col min="12" max="12" width="17" customWidth="1"/>
    <col min="13" max="13" width="16" customWidth="1"/>
    <col min="14" max="14" width="13" customWidth="1"/>
    <col min="15" max="15" width="11" customWidth="1"/>
    <col min="16" max="16" width="48" customWidth="1"/>
    <col min="17" max="17" width="52" customWidth="1"/>
  </cols>
  <sheetData>
    <row r="1" ht="34" customHeight="1" spans="1:17">
      <c r="A1" s="11" t="s">
        <v>0</v>
      </c>
      <c r="B1" s="12" t="s">
        <v>1</v>
      </c>
      <c r="C1" s="12" t="s">
        <v>2</v>
      </c>
      <c r="D1" s="12" t="s">
        <v>3</v>
      </c>
      <c r="E1" s="12" t="s">
        <v>4</v>
      </c>
      <c r="F1" s="12" t="s">
        <v>5</v>
      </c>
      <c r="G1" s="12" t="s">
        <v>6</v>
      </c>
      <c r="H1" s="12" t="s">
        <v>7</v>
      </c>
      <c r="I1" s="12" t="s">
        <v>8</v>
      </c>
      <c r="J1" s="12" t="s">
        <v>9</v>
      </c>
      <c r="K1" s="12" t="s">
        <v>10</v>
      </c>
      <c r="L1" s="12" t="s">
        <v>11</v>
      </c>
      <c r="M1" s="12" t="s">
        <v>12</v>
      </c>
      <c r="N1" s="12" t="s">
        <v>13</v>
      </c>
      <c r="O1" s="12" t="s">
        <v>14</v>
      </c>
      <c r="P1" s="12" t="s">
        <v>15</v>
      </c>
      <c r="Q1" s="13" t="s">
        <v>16</v>
      </c>
    </row>
    <row r="2" ht="38" customHeight="1" spans="1:17">
      <c r="A2" s="14" t="s">
        <v>17</v>
      </c>
      <c r="B2" s="14" t="s">
        <v>18</v>
      </c>
      <c r="C2" s="15" t="s">
        <v>19</v>
      </c>
      <c r="D2" s="15" t="s">
        <v>20</v>
      </c>
      <c r="E2" s="14" t="s">
        <v>21</v>
      </c>
      <c r="F2" s="16">
        <v>73.54</v>
      </c>
      <c r="G2" s="16">
        <v>40.29</v>
      </c>
      <c r="H2" s="16">
        <v>0.18</v>
      </c>
      <c r="I2" s="16">
        <v>10.52</v>
      </c>
      <c r="J2" s="16">
        <v>4.86</v>
      </c>
      <c r="K2" s="16">
        <f t="shared" ref="K2:K23" si="0">SUM(F2:J2)</f>
        <v>129.39</v>
      </c>
      <c r="L2" s="14" t="s">
        <v>22</v>
      </c>
      <c r="M2" s="14" t="s">
        <v>23</v>
      </c>
      <c r="N2" s="14" t="s">
        <v>24</v>
      </c>
      <c r="O2" s="17">
        <v>153</v>
      </c>
      <c r="P2" s="14" t="s">
        <v>25</v>
      </c>
      <c r="Q2" s="15" t="s">
        <v>26</v>
      </c>
    </row>
    <row r="3" ht="38" customHeight="1" spans="1:17">
      <c r="A3" s="18" t="s">
        <v>27</v>
      </c>
      <c r="B3" s="18" t="s">
        <v>28</v>
      </c>
      <c r="C3" s="19" t="s">
        <v>29</v>
      </c>
      <c r="D3" s="19" t="s">
        <v>30</v>
      </c>
      <c r="E3" s="18" t="s">
        <v>21</v>
      </c>
      <c r="F3" s="20">
        <v>81.65</v>
      </c>
      <c r="G3" s="20">
        <v>59.16</v>
      </c>
      <c r="H3" s="20">
        <v>0.21</v>
      </c>
      <c r="I3" s="20">
        <v>15.44</v>
      </c>
      <c r="J3" s="20">
        <v>7.12</v>
      </c>
      <c r="K3" s="20">
        <f t="shared" si="0"/>
        <v>163.58</v>
      </c>
      <c r="L3" s="18" t="s">
        <v>31</v>
      </c>
      <c r="M3" s="18" t="s">
        <v>23</v>
      </c>
      <c r="N3" s="18" t="s">
        <v>24</v>
      </c>
      <c r="O3" s="21">
        <v>160</v>
      </c>
      <c r="P3" s="18" t="s">
        <v>25</v>
      </c>
      <c r="Q3" s="19" t="s">
        <v>26</v>
      </c>
    </row>
    <row r="4" ht="38" customHeight="1" spans="1:17">
      <c r="A4" s="18" t="s">
        <v>32</v>
      </c>
      <c r="B4" s="18" t="s">
        <v>18</v>
      </c>
      <c r="C4" s="19" t="s">
        <v>33</v>
      </c>
      <c r="D4" s="19" t="s">
        <v>34</v>
      </c>
      <c r="E4" s="18" t="s">
        <v>21</v>
      </c>
      <c r="F4" s="20">
        <v>409.7</v>
      </c>
      <c r="G4" s="20">
        <v>64.11</v>
      </c>
      <c r="H4" s="20">
        <v>0.77</v>
      </c>
      <c r="I4" s="20">
        <v>16.87</v>
      </c>
      <c r="J4" s="20">
        <v>7.79</v>
      </c>
      <c r="K4" s="20">
        <f t="shared" si="0"/>
        <v>499.24</v>
      </c>
      <c r="L4" s="18" t="s">
        <v>35</v>
      </c>
      <c r="M4" s="18" t="s">
        <v>23</v>
      </c>
      <c r="N4" s="18" t="s">
        <v>24</v>
      </c>
      <c r="O4" s="21">
        <v>244</v>
      </c>
      <c r="P4" s="18" t="s">
        <v>25</v>
      </c>
      <c r="Q4" s="19" t="s">
        <v>26</v>
      </c>
    </row>
    <row r="5" ht="38" customHeight="1" spans="1:17">
      <c r="A5" s="18" t="s">
        <v>36</v>
      </c>
      <c r="B5" s="18" t="s">
        <v>18</v>
      </c>
      <c r="C5" s="19" t="s">
        <v>37</v>
      </c>
      <c r="D5" s="19" t="s">
        <v>38</v>
      </c>
      <c r="E5" s="18" t="s">
        <v>21</v>
      </c>
      <c r="F5" s="20">
        <v>107.93</v>
      </c>
      <c r="G5" s="20">
        <v>13.83</v>
      </c>
      <c r="H5" s="20">
        <v>0.3</v>
      </c>
      <c r="I5" s="20">
        <v>3.67</v>
      </c>
      <c r="J5" s="20">
        <v>1.7</v>
      </c>
      <c r="K5" s="20">
        <f t="shared" si="0"/>
        <v>127.43</v>
      </c>
      <c r="L5" s="18" t="s">
        <v>39</v>
      </c>
      <c r="M5" s="18" t="s">
        <v>23</v>
      </c>
      <c r="N5" s="18" t="s">
        <v>24</v>
      </c>
      <c r="O5" s="21">
        <v>227</v>
      </c>
      <c r="P5" s="18" t="s">
        <v>25</v>
      </c>
      <c r="Q5" s="19" t="s">
        <v>26</v>
      </c>
    </row>
    <row r="6" ht="38" customHeight="1" spans="1:17">
      <c r="A6" s="18" t="s">
        <v>40</v>
      </c>
      <c r="B6" s="18" t="s">
        <v>18</v>
      </c>
      <c r="C6" s="19" t="s">
        <v>41</v>
      </c>
      <c r="D6" s="19" t="s">
        <v>42</v>
      </c>
      <c r="E6" s="18" t="s">
        <v>21</v>
      </c>
      <c r="F6" s="20">
        <v>87.44</v>
      </c>
      <c r="G6" s="20">
        <v>93.85</v>
      </c>
      <c r="H6" s="20">
        <v>1.11</v>
      </c>
      <c r="I6" s="20">
        <v>24.69</v>
      </c>
      <c r="J6" s="20">
        <v>11.4</v>
      </c>
      <c r="K6" s="20">
        <f t="shared" si="0"/>
        <v>218.49</v>
      </c>
      <c r="L6" s="18" t="s">
        <v>43</v>
      </c>
      <c r="M6" s="18" t="s">
        <v>23</v>
      </c>
      <c r="N6" s="18" t="s">
        <v>24</v>
      </c>
      <c r="O6" s="21">
        <v>219</v>
      </c>
      <c r="P6" s="18" t="s">
        <v>25</v>
      </c>
      <c r="Q6" s="19" t="s">
        <v>26</v>
      </c>
    </row>
    <row r="7" ht="38" customHeight="1" spans="1:17">
      <c r="A7" s="18" t="s">
        <v>44</v>
      </c>
      <c r="B7" s="18" t="s">
        <v>18</v>
      </c>
      <c r="C7" s="19" t="s">
        <v>45</v>
      </c>
      <c r="D7" s="19" t="s">
        <v>46</v>
      </c>
      <c r="E7" s="18" t="s">
        <v>21</v>
      </c>
      <c r="F7" s="20">
        <v>11.9</v>
      </c>
      <c r="G7" s="20">
        <v>11.03</v>
      </c>
      <c r="H7" s="20">
        <v>0.05</v>
      </c>
      <c r="I7" s="20">
        <v>3.22</v>
      </c>
      <c r="J7" s="20">
        <v>1.33</v>
      </c>
      <c r="K7" s="20">
        <f t="shared" si="0"/>
        <v>27.53</v>
      </c>
      <c r="L7" s="18" t="s">
        <v>47</v>
      </c>
      <c r="M7" s="18" t="s">
        <v>23</v>
      </c>
      <c r="N7" s="18" t="s">
        <v>24</v>
      </c>
      <c r="O7" s="21">
        <v>78</v>
      </c>
      <c r="P7" s="18" t="s">
        <v>25</v>
      </c>
      <c r="Q7" s="19" t="s">
        <v>26</v>
      </c>
    </row>
    <row r="8" ht="38" customHeight="1" spans="1:17">
      <c r="A8" s="18" t="s">
        <v>48</v>
      </c>
      <c r="B8" s="18" t="s">
        <v>18</v>
      </c>
      <c r="C8" s="19" t="s">
        <v>49</v>
      </c>
      <c r="D8" s="19" t="s">
        <v>50</v>
      </c>
      <c r="E8" s="18" t="s">
        <v>21</v>
      </c>
      <c r="F8" s="20">
        <v>49.46</v>
      </c>
      <c r="G8" s="20">
        <v>15.76</v>
      </c>
      <c r="H8" s="20">
        <v>0.32</v>
      </c>
      <c r="I8" s="20">
        <v>4.19</v>
      </c>
      <c r="J8" s="20">
        <v>1.93</v>
      </c>
      <c r="K8" s="20">
        <f t="shared" si="0"/>
        <v>71.66</v>
      </c>
      <c r="L8" s="18" t="s">
        <v>51</v>
      </c>
      <c r="M8" s="18" t="s">
        <v>23</v>
      </c>
      <c r="N8" s="18" t="s">
        <v>24</v>
      </c>
      <c r="O8" s="21">
        <v>152</v>
      </c>
      <c r="P8" s="18" t="s">
        <v>25</v>
      </c>
      <c r="Q8" s="19" t="s">
        <v>26</v>
      </c>
    </row>
    <row r="9" ht="38" customHeight="1" spans="1:17">
      <c r="A9" s="18" t="s">
        <v>52</v>
      </c>
      <c r="B9" s="18" t="s">
        <v>28</v>
      </c>
      <c r="C9" s="19" t="s">
        <v>53</v>
      </c>
      <c r="D9" s="19" t="s">
        <v>54</v>
      </c>
      <c r="E9" s="18" t="s">
        <v>21</v>
      </c>
      <c r="F9" s="20">
        <v>8.89</v>
      </c>
      <c r="G9" s="20">
        <v>17.85</v>
      </c>
      <c r="H9" s="20">
        <v>0.03</v>
      </c>
      <c r="I9" s="20">
        <v>5.18</v>
      </c>
      <c r="J9" s="20">
        <v>2.14</v>
      </c>
      <c r="K9" s="20">
        <f t="shared" si="0"/>
        <v>34.09</v>
      </c>
      <c r="L9" s="18" t="s">
        <v>55</v>
      </c>
      <c r="M9" s="18" t="s">
        <v>23</v>
      </c>
      <c r="N9" s="18" t="s">
        <v>24</v>
      </c>
      <c r="O9" s="21">
        <v>82</v>
      </c>
      <c r="P9" s="18" t="s">
        <v>25</v>
      </c>
      <c r="Q9" s="19" t="s">
        <v>26</v>
      </c>
    </row>
    <row r="10" ht="38" customHeight="1" spans="1:17">
      <c r="A10" s="18" t="s">
        <v>56</v>
      </c>
      <c r="B10" s="18" t="s">
        <v>28</v>
      </c>
      <c r="C10" s="19" t="s">
        <v>57</v>
      </c>
      <c r="D10" s="19" t="s">
        <v>58</v>
      </c>
      <c r="E10" s="18" t="s">
        <v>21</v>
      </c>
      <c r="F10" s="20">
        <v>23.56</v>
      </c>
      <c r="G10" s="20">
        <v>10.91</v>
      </c>
      <c r="H10" s="20">
        <v>0</v>
      </c>
      <c r="I10" s="20">
        <v>2.84</v>
      </c>
      <c r="J10" s="20">
        <v>1.32</v>
      </c>
      <c r="K10" s="20">
        <f t="shared" si="0"/>
        <v>38.63</v>
      </c>
      <c r="L10" s="18" t="s">
        <v>59</v>
      </c>
      <c r="M10" s="18" t="s">
        <v>23</v>
      </c>
      <c r="N10" s="18" t="s">
        <v>24</v>
      </c>
      <c r="O10" s="21">
        <v>161</v>
      </c>
      <c r="P10" s="18" t="s">
        <v>25</v>
      </c>
      <c r="Q10" s="19" t="s">
        <v>26</v>
      </c>
    </row>
    <row r="11" ht="38" customHeight="1" spans="1:17">
      <c r="A11" s="18" t="s">
        <v>60</v>
      </c>
      <c r="B11" s="18" t="s">
        <v>28</v>
      </c>
      <c r="C11" s="19" t="s">
        <v>61</v>
      </c>
      <c r="D11" s="19" t="s">
        <v>62</v>
      </c>
      <c r="E11" s="18" t="s">
        <v>21</v>
      </c>
      <c r="F11" s="20">
        <v>110.23</v>
      </c>
      <c r="G11" s="20">
        <v>67.56</v>
      </c>
      <c r="H11" s="20">
        <v>4.02</v>
      </c>
      <c r="I11" s="20">
        <v>18.61</v>
      </c>
      <c r="J11" s="20">
        <v>8.59</v>
      </c>
      <c r="K11" s="20">
        <f t="shared" si="0"/>
        <v>209.01</v>
      </c>
      <c r="L11" s="18" t="s">
        <v>63</v>
      </c>
      <c r="M11" s="18" t="s">
        <v>23</v>
      </c>
      <c r="N11" s="18" t="s">
        <v>24</v>
      </c>
      <c r="O11" s="21">
        <v>214</v>
      </c>
      <c r="P11" s="18" t="s">
        <v>25</v>
      </c>
      <c r="Q11" s="19" t="s">
        <v>26</v>
      </c>
    </row>
    <row r="12" ht="38" customHeight="1" spans="1:17">
      <c r="A12" s="18" t="s">
        <v>64</v>
      </c>
      <c r="B12" s="18" t="s">
        <v>65</v>
      </c>
      <c r="C12" s="19" t="s">
        <v>66</v>
      </c>
      <c r="D12" s="19" t="s">
        <v>67</v>
      </c>
      <c r="E12" s="18" t="s">
        <v>21</v>
      </c>
      <c r="F12" s="20">
        <v>59.4</v>
      </c>
      <c r="G12" s="20">
        <v>53.27</v>
      </c>
      <c r="H12" s="20">
        <v>0.57</v>
      </c>
      <c r="I12" s="20">
        <v>14</v>
      </c>
      <c r="J12" s="20">
        <v>6.46</v>
      </c>
      <c r="K12" s="20">
        <f t="shared" si="0"/>
        <v>133.7</v>
      </c>
      <c r="L12" s="18" t="s">
        <v>68</v>
      </c>
      <c r="M12" s="18" t="s">
        <v>23</v>
      </c>
      <c r="N12" s="18" t="s">
        <v>24</v>
      </c>
      <c r="O12" s="21">
        <v>222</v>
      </c>
      <c r="P12" s="18" t="s">
        <v>25</v>
      </c>
      <c r="Q12" s="19" t="s">
        <v>26</v>
      </c>
    </row>
    <row r="13" ht="38" customHeight="1" spans="1:17">
      <c r="A13" s="18" t="s">
        <v>69</v>
      </c>
      <c r="B13" s="18" t="s">
        <v>65</v>
      </c>
      <c r="C13" s="19" t="s">
        <v>70</v>
      </c>
      <c r="D13" s="19" t="s">
        <v>71</v>
      </c>
      <c r="E13" s="18" t="s">
        <v>21</v>
      </c>
      <c r="F13" s="20">
        <v>3.23</v>
      </c>
      <c r="G13" s="20">
        <v>17.66</v>
      </c>
      <c r="H13" s="20">
        <v>0.01</v>
      </c>
      <c r="I13" s="20">
        <v>4.59</v>
      </c>
      <c r="J13" s="20">
        <v>2.12</v>
      </c>
      <c r="K13" s="20">
        <f t="shared" si="0"/>
        <v>27.61</v>
      </c>
      <c r="L13" s="18" t="s">
        <v>72</v>
      </c>
      <c r="M13" s="18" t="s">
        <v>23</v>
      </c>
      <c r="N13" s="18" t="s">
        <v>24</v>
      </c>
      <c r="O13" s="21">
        <v>161</v>
      </c>
      <c r="P13" s="18" t="s">
        <v>25</v>
      </c>
      <c r="Q13" s="19" t="s">
        <v>26</v>
      </c>
    </row>
    <row r="14" ht="38" customHeight="1" spans="1:17">
      <c r="A14" s="18" t="s">
        <v>73</v>
      </c>
      <c r="B14" s="18" t="s">
        <v>65</v>
      </c>
      <c r="C14" s="19" t="s">
        <v>74</v>
      </c>
      <c r="D14" s="19" t="s">
        <v>75</v>
      </c>
      <c r="E14" s="18" t="s">
        <v>21</v>
      </c>
      <c r="F14" s="20">
        <v>1.47</v>
      </c>
      <c r="G14" s="20">
        <v>9.96</v>
      </c>
      <c r="H14" s="20">
        <v>0</v>
      </c>
      <c r="I14" s="20">
        <v>2.59</v>
      </c>
      <c r="J14" s="20">
        <v>1.2</v>
      </c>
      <c r="K14" s="20">
        <f t="shared" si="0"/>
        <v>15.22</v>
      </c>
      <c r="L14" s="18" t="s">
        <v>76</v>
      </c>
      <c r="M14" s="18" t="s">
        <v>23</v>
      </c>
      <c r="N14" s="18" t="s">
        <v>24</v>
      </c>
      <c r="O14" s="21">
        <v>163</v>
      </c>
      <c r="P14" s="18" t="s">
        <v>25</v>
      </c>
      <c r="Q14" s="19" t="s">
        <v>26</v>
      </c>
    </row>
    <row r="15" ht="38" customHeight="1" spans="1:17">
      <c r="A15" s="18" t="s">
        <v>77</v>
      </c>
      <c r="B15" s="18" t="s">
        <v>78</v>
      </c>
      <c r="C15" s="19" t="s">
        <v>79</v>
      </c>
      <c r="D15" s="19" t="s">
        <v>80</v>
      </c>
      <c r="E15" s="18" t="s">
        <v>21</v>
      </c>
      <c r="F15" s="20">
        <v>17.74</v>
      </c>
      <c r="G15" s="20">
        <v>8.4</v>
      </c>
      <c r="H15" s="20">
        <v>0</v>
      </c>
      <c r="I15" s="20">
        <v>2.44</v>
      </c>
      <c r="J15" s="20">
        <v>1.01</v>
      </c>
      <c r="K15" s="20">
        <f t="shared" si="0"/>
        <v>29.59</v>
      </c>
      <c r="L15" s="18" t="s">
        <v>81</v>
      </c>
      <c r="M15" s="18" t="s">
        <v>23</v>
      </c>
      <c r="N15" s="18" t="s">
        <v>24</v>
      </c>
      <c r="O15" s="21">
        <v>65</v>
      </c>
      <c r="P15" s="18" t="s">
        <v>25</v>
      </c>
      <c r="Q15" s="19" t="s">
        <v>26</v>
      </c>
    </row>
    <row r="16" ht="38" customHeight="1" spans="1:17">
      <c r="A16" s="18" t="s">
        <v>82</v>
      </c>
      <c r="B16" s="18" t="s">
        <v>78</v>
      </c>
      <c r="C16" s="19" t="s">
        <v>83</v>
      </c>
      <c r="D16" s="19" t="s">
        <v>84</v>
      </c>
      <c r="E16" s="18" t="s">
        <v>21</v>
      </c>
      <c r="F16" s="20">
        <v>55.73</v>
      </c>
      <c r="G16" s="20">
        <v>11.64</v>
      </c>
      <c r="H16" s="20">
        <v>0</v>
      </c>
      <c r="I16" s="20">
        <v>3.38</v>
      </c>
      <c r="J16" s="20">
        <v>1.4</v>
      </c>
      <c r="K16" s="20">
        <f t="shared" si="0"/>
        <v>72.15</v>
      </c>
      <c r="L16" s="18" t="s">
        <v>85</v>
      </c>
      <c r="M16" s="18" t="s">
        <v>23</v>
      </c>
      <c r="N16" s="18" t="s">
        <v>24</v>
      </c>
      <c r="O16" s="21">
        <v>66</v>
      </c>
      <c r="P16" s="18" t="s">
        <v>25</v>
      </c>
      <c r="Q16" s="19" t="s">
        <v>26</v>
      </c>
    </row>
    <row r="17" ht="38" customHeight="1" spans="1:17">
      <c r="A17" s="18" t="s">
        <v>86</v>
      </c>
      <c r="B17" s="18" t="s">
        <v>78</v>
      </c>
      <c r="C17" s="19" t="s">
        <v>87</v>
      </c>
      <c r="D17" s="19" t="s">
        <v>88</v>
      </c>
      <c r="E17" s="18" t="s">
        <v>21</v>
      </c>
      <c r="F17" s="20">
        <v>20.52</v>
      </c>
      <c r="G17" s="20">
        <v>8.76</v>
      </c>
      <c r="H17" s="20">
        <v>0</v>
      </c>
      <c r="I17" s="20">
        <v>2.54</v>
      </c>
      <c r="J17" s="20">
        <v>1.05</v>
      </c>
      <c r="K17" s="20">
        <f t="shared" si="0"/>
        <v>32.87</v>
      </c>
      <c r="L17" s="18" t="s">
        <v>89</v>
      </c>
      <c r="M17" s="18" t="s">
        <v>23</v>
      </c>
      <c r="N17" s="18" t="s">
        <v>24</v>
      </c>
      <c r="O17" s="21">
        <v>71</v>
      </c>
      <c r="P17" s="18" t="s">
        <v>25</v>
      </c>
      <c r="Q17" s="19" t="s">
        <v>26</v>
      </c>
    </row>
    <row r="18" ht="38" customHeight="1" spans="1:17">
      <c r="A18" s="18" t="s">
        <v>90</v>
      </c>
      <c r="B18" s="18" t="s">
        <v>91</v>
      </c>
      <c r="C18" s="19" t="s">
        <v>92</v>
      </c>
      <c r="D18" s="19" t="s">
        <v>93</v>
      </c>
      <c r="E18" s="18" t="s">
        <v>21</v>
      </c>
      <c r="F18" s="20">
        <v>44.93</v>
      </c>
      <c r="G18" s="20">
        <v>9.6</v>
      </c>
      <c r="H18" s="20">
        <v>0</v>
      </c>
      <c r="I18" s="20">
        <v>2.78</v>
      </c>
      <c r="J18" s="20">
        <v>1.15</v>
      </c>
      <c r="K18" s="20">
        <f t="shared" si="0"/>
        <v>58.46</v>
      </c>
      <c r="L18" s="18" t="s">
        <v>94</v>
      </c>
      <c r="M18" s="18" t="s">
        <v>23</v>
      </c>
      <c r="N18" s="18" t="s">
        <v>24</v>
      </c>
      <c r="O18" s="21">
        <v>73</v>
      </c>
      <c r="P18" s="18" t="s">
        <v>25</v>
      </c>
      <c r="Q18" s="19" t="s">
        <v>26</v>
      </c>
    </row>
    <row r="19" ht="38" customHeight="1" spans="1:17">
      <c r="A19" s="18" t="s">
        <v>95</v>
      </c>
      <c r="B19" s="18" t="s">
        <v>91</v>
      </c>
      <c r="C19" s="19" t="s">
        <v>96</v>
      </c>
      <c r="D19" s="19" t="s">
        <v>97</v>
      </c>
      <c r="E19" s="18" t="s">
        <v>21</v>
      </c>
      <c r="F19" s="20">
        <v>41.63</v>
      </c>
      <c r="G19" s="20">
        <v>36</v>
      </c>
      <c r="H19" s="20">
        <v>0.75</v>
      </c>
      <c r="I19" s="20">
        <v>10.66</v>
      </c>
      <c r="J19" s="20">
        <v>4.41</v>
      </c>
      <c r="K19" s="20">
        <f t="shared" si="0"/>
        <v>93.45</v>
      </c>
      <c r="L19" s="18" t="s">
        <v>98</v>
      </c>
      <c r="M19" s="18" t="s">
        <v>23</v>
      </c>
      <c r="N19" s="18" t="s">
        <v>24</v>
      </c>
      <c r="O19" s="21">
        <v>75</v>
      </c>
      <c r="P19" s="18" t="s">
        <v>25</v>
      </c>
      <c r="Q19" s="19" t="s">
        <v>26</v>
      </c>
    </row>
    <row r="20" ht="38" customHeight="1" spans="1:17">
      <c r="A20" s="18" t="s">
        <v>99</v>
      </c>
      <c r="B20" s="18" t="s">
        <v>100</v>
      </c>
      <c r="C20" s="19" t="s">
        <v>101</v>
      </c>
      <c r="D20" s="19" t="s">
        <v>102</v>
      </c>
      <c r="E20" s="18" t="s">
        <v>21</v>
      </c>
      <c r="F20" s="20">
        <v>356</v>
      </c>
      <c r="G20" s="20">
        <v>18.32</v>
      </c>
      <c r="H20" s="20">
        <v>0</v>
      </c>
      <c r="I20" s="20">
        <v>5.31</v>
      </c>
      <c r="J20" s="20">
        <v>2.2</v>
      </c>
      <c r="K20" s="20">
        <f t="shared" si="0"/>
        <v>381.83</v>
      </c>
      <c r="L20" s="18" t="s">
        <v>103</v>
      </c>
      <c r="M20" s="18" t="s">
        <v>23</v>
      </c>
      <c r="N20" s="18" t="s">
        <v>24</v>
      </c>
      <c r="O20" s="21">
        <v>61</v>
      </c>
      <c r="P20" s="18" t="s">
        <v>25</v>
      </c>
      <c r="Q20" s="19" t="s">
        <v>26</v>
      </c>
    </row>
    <row r="21" ht="38" customHeight="1" spans="1:17">
      <c r="A21" s="18" t="s">
        <v>104</v>
      </c>
      <c r="B21" s="18" t="s">
        <v>100</v>
      </c>
      <c r="C21" s="19" t="s">
        <v>105</v>
      </c>
      <c r="D21" s="19" t="s">
        <v>106</v>
      </c>
      <c r="E21" s="18" t="s">
        <v>21</v>
      </c>
      <c r="F21" s="20">
        <v>559.72</v>
      </c>
      <c r="G21" s="20">
        <v>24.42</v>
      </c>
      <c r="H21" s="20">
        <v>0</v>
      </c>
      <c r="I21" s="20">
        <v>7.08</v>
      </c>
      <c r="J21" s="20">
        <v>2.93</v>
      </c>
      <c r="K21" s="20">
        <f t="shared" si="0"/>
        <v>594.15</v>
      </c>
      <c r="L21" s="18" t="s">
        <v>107</v>
      </c>
      <c r="M21" s="18" t="s">
        <v>23</v>
      </c>
      <c r="N21" s="18" t="s">
        <v>24</v>
      </c>
      <c r="O21" s="21">
        <v>60</v>
      </c>
      <c r="P21" s="18" t="s">
        <v>25</v>
      </c>
      <c r="Q21" s="19" t="s">
        <v>26</v>
      </c>
    </row>
    <row r="22" ht="38" customHeight="1" spans="1:17">
      <c r="A22" s="18" t="s">
        <v>108</v>
      </c>
      <c r="B22" s="18" t="s">
        <v>100</v>
      </c>
      <c r="C22" s="19" t="s">
        <v>109</v>
      </c>
      <c r="D22" s="19" t="s">
        <v>110</v>
      </c>
      <c r="E22" s="18" t="s">
        <v>21</v>
      </c>
      <c r="F22" s="20">
        <v>228.57</v>
      </c>
      <c r="G22" s="20">
        <v>84.34</v>
      </c>
      <c r="H22" s="20">
        <v>1.75</v>
      </c>
      <c r="I22" s="20">
        <v>22.38</v>
      </c>
      <c r="J22" s="20">
        <v>10.33</v>
      </c>
      <c r="K22" s="20">
        <f t="shared" si="0"/>
        <v>347.37</v>
      </c>
      <c r="L22" s="18" t="s">
        <v>111</v>
      </c>
      <c r="M22" s="18" t="s">
        <v>23</v>
      </c>
      <c r="N22" s="18" t="s">
        <v>24</v>
      </c>
      <c r="O22" s="21">
        <v>145</v>
      </c>
      <c r="P22" s="18" t="s">
        <v>25</v>
      </c>
      <c r="Q22" s="19" t="s">
        <v>26</v>
      </c>
    </row>
    <row r="23" ht="38" customHeight="1" spans="1:17">
      <c r="A23" s="22" t="s">
        <v>112</v>
      </c>
      <c r="B23" s="22" t="s">
        <v>113</v>
      </c>
      <c r="C23" s="23" t="s">
        <v>114</v>
      </c>
      <c r="D23" s="23" t="s">
        <v>115</v>
      </c>
      <c r="E23" s="22" t="s">
        <v>21</v>
      </c>
      <c r="F23" s="24">
        <v>355.95</v>
      </c>
      <c r="G23" s="24">
        <v>183.4</v>
      </c>
      <c r="H23" s="24">
        <v>8.35</v>
      </c>
      <c r="I23" s="24">
        <v>49.86</v>
      </c>
      <c r="J23" s="24">
        <v>23.01</v>
      </c>
      <c r="K23" s="24">
        <f t="shared" si="0"/>
        <v>620.57</v>
      </c>
      <c r="L23" s="22" t="s">
        <v>116</v>
      </c>
      <c r="M23" s="22" t="s">
        <v>23</v>
      </c>
      <c r="N23" s="22" t="s">
        <v>24</v>
      </c>
      <c r="O23" s="25">
        <v>216</v>
      </c>
      <c r="P23" s="22" t="s">
        <v>25</v>
      </c>
      <c r="Q23" s="23" t="s">
        <v>26</v>
      </c>
    </row>
  </sheetData>
  <conditionalFormatting sqref="K2:K23">
    <cfRule type="colorScale" priority="1">
      <colorScale>
        <cfvo type="min"/>
        <cfvo type="percentile" val="50"/>
        <cfvo type="max"/>
        <color rgb="FFE6F6F3"/>
        <color rgb="FFFDECC8"/>
        <color rgb="FFF8C9C5"/>
      </colorScale>
    </cfRule>
  </conditionalFormatting>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9"/>
  <sheetViews>
    <sheetView showGridLines="0" workbookViewId="0">
      <selection activeCell="A1" sqref="A1"/>
    </sheetView>
  </sheetViews>
  <sheetFormatPr defaultColWidth="9" defaultRowHeight="13.8"/>
  <cols>
    <col min="1" max="1" width="14" customWidth="1"/>
    <col min="2" max="2" width="10" customWidth="1"/>
    <col min="3" max="3" width="32" customWidth="1"/>
    <col min="4" max="4" width="30" customWidth="1"/>
    <col min="5" max="5" width="8" customWidth="1"/>
    <col min="6" max="6" width="17" customWidth="1"/>
    <col min="7" max="7" width="16" customWidth="1"/>
    <col min="8" max="8" width="20" customWidth="1"/>
    <col min="9" max="9" width="11" customWidth="1"/>
    <col min="10" max="10" width="52" customWidth="1"/>
  </cols>
  <sheetData>
    <row r="1" ht="34" customHeight="1" spans="1:10">
      <c r="A1" s="8" t="s">
        <v>117</v>
      </c>
      <c r="B1" s="8" t="s">
        <v>1</v>
      </c>
      <c r="C1" s="8" t="s">
        <v>118</v>
      </c>
      <c r="D1" s="8" t="s">
        <v>119</v>
      </c>
      <c r="E1" s="8" t="s">
        <v>4</v>
      </c>
      <c r="F1" s="8" t="s">
        <v>6</v>
      </c>
      <c r="G1" s="8" t="s">
        <v>12</v>
      </c>
      <c r="H1" s="8" t="s">
        <v>120</v>
      </c>
      <c r="I1" s="8" t="s">
        <v>14</v>
      </c>
      <c r="J1" s="8" t="s">
        <v>15</v>
      </c>
    </row>
    <row r="2" ht="32" customHeight="1" spans="1:10">
      <c r="A2" t="s">
        <v>121</v>
      </c>
      <c r="B2" t="s">
        <v>122</v>
      </c>
      <c r="C2" s="9" t="s">
        <v>123</v>
      </c>
      <c r="D2" s="9" t="s">
        <v>124</v>
      </c>
      <c r="E2" t="s">
        <v>21</v>
      </c>
      <c r="F2" s="10">
        <v>8</v>
      </c>
      <c r="G2" t="s">
        <v>125</v>
      </c>
      <c r="H2" t="s">
        <v>126</v>
      </c>
      <c r="I2">
        <v>86</v>
      </c>
      <c r="J2" t="s">
        <v>127</v>
      </c>
    </row>
    <row r="3" ht="32" customHeight="1" spans="1:10">
      <c r="A3" t="s">
        <v>128</v>
      </c>
      <c r="B3" t="s">
        <v>122</v>
      </c>
      <c r="C3" s="9" t="s">
        <v>129</v>
      </c>
      <c r="D3" s="9" t="s">
        <v>124</v>
      </c>
      <c r="E3" t="s">
        <v>21</v>
      </c>
      <c r="F3" s="10">
        <v>2</v>
      </c>
      <c r="G3" t="s">
        <v>125</v>
      </c>
      <c r="H3" t="s">
        <v>126</v>
      </c>
      <c r="I3">
        <v>86</v>
      </c>
      <c r="J3" t="s">
        <v>127</v>
      </c>
    </row>
    <row r="4" ht="32" customHeight="1" spans="1:10">
      <c r="A4" t="s">
        <v>130</v>
      </c>
      <c r="B4" t="s">
        <v>78</v>
      </c>
      <c r="C4" s="9" t="s">
        <v>131</v>
      </c>
      <c r="D4" s="9" t="s">
        <v>132</v>
      </c>
      <c r="E4" t="s">
        <v>21</v>
      </c>
      <c r="F4" s="10">
        <v>13</v>
      </c>
      <c r="G4" t="s">
        <v>125</v>
      </c>
      <c r="H4" t="s">
        <v>126</v>
      </c>
      <c r="I4">
        <v>88</v>
      </c>
      <c r="J4" t="s">
        <v>127</v>
      </c>
    </row>
    <row r="5" ht="32" customHeight="1" spans="1:10">
      <c r="A5" t="s">
        <v>133</v>
      </c>
      <c r="B5" t="s">
        <v>78</v>
      </c>
      <c r="C5" s="9" t="s">
        <v>134</v>
      </c>
      <c r="D5" s="9" t="s">
        <v>132</v>
      </c>
      <c r="E5" t="s">
        <v>21</v>
      </c>
      <c r="F5" s="10">
        <v>15</v>
      </c>
      <c r="G5" t="s">
        <v>125</v>
      </c>
      <c r="H5" t="s">
        <v>126</v>
      </c>
      <c r="I5">
        <v>88</v>
      </c>
      <c r="J5" t="s">
        <v>127</v>
      </c>
    </row>
    <row r="6" ht="32" customHeight="1" spans="1:10">
      <c r="A6" t="s">
        <v>135</v>
      </c>
      <c r="B6" t="s">
        <v>78</v>
      </c>
      <c r="C6" s="9" t="s">
        <v>136</v>
      </c>
      <c r="D6" s="9" t="s">
        <v>132</v>
      </c>
      <c r="E6" t="s">
        <v>21</v>
      </c>
      <c r="F6" s="10">
        <v>12</v>
      </c>
      <c r="G6" t="s">
        <v>125</v>
      </c>
      <c r="H6" t="s">
        <v>126</v>
      </c>
      <c r="I6">
        <v>88</v>
      </c>
      <c r="J6" t="s">
        <v>127</v>
      </c>
    </row>
    <row r="7" ht="32" customHeight="1" spans="1:10">
      <c r="A7" t="s">
        <v>137</v>
      </c>
      <c r="B7" t="s">
        <v>78</v>
      </c>
      <c r="C7" s="9" t="s">
        <v>138</v>
      </c>
      <c r="D7" s="9" t="s">
        <v>132</v>
      </c>
      <c r="E7" t="s">
        <v>21</v>
      </c>
      <c r="F7" s="10">
        <v>14</v>
      </c>
      <c r="G7" t="s">
        <v>125</v>
      </c>
      <c r="H7" t="s">
        <v>126</v>
      </c>
      <c r="I7">
        <v>88</v>
      </c>
      <c r="J7" t="s">
        <v>127</v>
      </c>
    </row>
    <row r="8" ht="32" customHeight="1" spans="1:10">
      <c r="A8" t="s">
        <v>139</v>
      </c>
      <c r="B8" t="s">
        <v>140</v>
      </c>
      <c r="C8" s="9" t="s">
        <v>141</v>
      </c>
      <c r="D8" s="9" t="s">
        <v>142</v>
      </c>
      <c r="E8" t="s">
        <v>21</v>
      </c>
      <c r="F8" s="10">
        <v>18</v>
      </c>
      <c r="G8" t="s">
        <v>125</v>
      </c>
      <c r="H8" t="s">
        <v>126</v>
      </c>
      <c r="I8">
        <v>88</v>
      </c>
      <c r="J8" t="s">
        <v>127</v>
      </c>
    </row>
    <row r="9" ht="32" customHeight="1" spans="1:10">
      <c r="A9" t="s">
        <v>143</v>
      </c>
      <c r="B9" t="s">
        <v>140</v>
      </c>
      <c r="C9" s="9" t="s">
        <v>144</v>
      </c>
      <c r="D9" s="9" t="s">
        <v>142</v>
      </c>
      <c r="E9" t="s">
        <v>21</v>
      </c>
      <c r="F9" s="10">
        <v>22</v>
      </c>
      <c r="G9" t="s">
        <v>125</v>
      </c>
      <c r="H9" t="s">
        <v>126</v>
      </c>
      <c r="I9">
        <v>88</v>
      </c>
      <c r="J9" t="s">
        <v>127</v>
      </c>
    </row>
    <row r="10" ht="32" customHeight="1" spans="1:10">
      <c r="A10" t="s">
        <v>145</v>
      </c>
      <c r="B10" t="s">
        <v>140</v>
      </c>
      <c r="C10" s="9" t="s">
        <v>146</v>
      </c>
      <c r="D10" s="9" t="s">
        <v>142</v>
      </c>
      <c r="E10" t="s">
        <v>21</v>
      </c>
      <c r="F10" s="10">
        <v>20</v>
      </c>
      <c r="G10" t="s">
        <v>125</v>
      </c>
      <c r="H10" t="s">
        <v>126</v>
      </c>
      <c r="I10">
        <v>88</v>
      </c>
      <c r="J10" t="s">
        <v>127</v>
      </c>
    </row>
    <row r="11" ht="32" customHeight="1" spans="1:10">
      <c r="A11" t="s">
        <v>147</v>
      </c>
      <c r="B11" t="s">
        <v>18</v>
      </c>
      <c r="C11" s="9" t="s">
        <v>148</v>
      </c>
      <c r="D11" s="9" t="s">
        <v>132</v>
      </c>
      <c r="E11" t="s">
        <v>21</v>
      </c>
      <c r="F11" s="10">
        <v>10</v>
      </c>
      <c r="G11" t="s">
        <v>125</v>
      </c>
      <c r="H11" t="s">
        <v>126</v>
      </c>
      <c r="I11">
        <v>88</v>
      </c>
      <c r="J11" t="s">
        <v>127</v>
      </c>
    </row>
    <row r="12" ht="32" customHeight="1" spans="1:10">
      <c r="A12" t="s">
        <v>149</v>
      </c>
      <c r="B12" t="s">
        <v>18</v>
      </c>
      <c r="C12" s="9" t="s">
        <v>45</v>
      </c>
      <c r="D12" s="9" t="s">
        <v>132</v>
      </c>
      <c r="E12" t="s">
        <v>21</v>
      </c>
      <c r="F12" s="10">
        <v>18</v>
      </c>
      <c r="G12" t="s">
        <v>125</v>
      </c>
      <c r="H12" t="s">
        <v>126</v>
      </c>
      <c r="I12">
        <v>88</v>
      </c>
      <c r="J12" t="s">
        <v>127</v>
      </c>
    </row>
    <row r="13" ht="32" customHeight="1" spans="1:10">
      <c r="A13" t="s">
        <v>150</v>
      </c>
      <c r="B13" t="s">
        <v>28</v>
      </c>
      <c r="C13" s="9" t="s">
        <v>151</v>
      </c>
      <c r="D13" s="9" t="s">
        <v>152</v>
      </c>
      <c r="E13" t="s">
        <v>21</v>
      </c>
      <c r="F13" s="10">
        <v>45</v>
      </c>
      <c r="G13" t="s">
        <v>125</v>
      </c>
      <c r="H13" t="s">
        <v>126</v>
      </c>
      <c r="I13">
        <v>88</v>
      </c>
      <c r="J13" t="s">
        <v>127</v>
      </c>
    </row>
    <row r="14" ht="32" customHeight="1" spans="1:10">
      <c r="A14" t="s">
        <v>153</v>
      </c>
      <c r="B14" t="s">
        <v>28</v>
      </c>
      <c r="C14" s="9" t="s">
        <v>154</v>
      </c>
      <c r="D14" s="9" t="s">
        <v>152</v>
      </c>
      <c r="E14" t="s">
        <v>21</v>
      </c>
      <c r="F14" s="10">
        <v>45</v>
      </c>
      <c r="G14" t="s">
        <v>125</v>
      </c>
      <c r="H14" t="s">
        <v>126</v>
      </c>
      <c r="I14">
        <v>88</v>
      </c>
      <c r="J14" t="s">
        <v>127</v>
      </c>
    </row>
    <row r="15" ht="32" customHeight="1" spans="1:10">
      <c r="A15" t="s">
        <v>155</v>
      </c>
      <c r="B15" t="s">
        <v>28</v>
      </c>
      <c r="C15" s="9" t="s">
        <v>156</v>
      </c>
      <c r="D15" s="9" t="s">
        <v>152</v>
      </c>
      <c r="E15" t="s">
        <v>21</v>
      </c>
      <c r="F15" s="10">
        <v>55</v>
      </c>
      <c r="G15" t="s">
        <v>125</v>
      </c>
      <c r="H15" t="s">
        <v>126</v>
      </c>
      <c r="I15">
        <v>88</v>
      </c>
      <c r="J15" t="s">
        <v>127</v>
      </c>
    </row>
    <row r="16" ht="32" customHeight="1" spans="1:10">
      <c r="A16" t="s">
        <v>157</v>
      </c>
      <c r="B16" t="s">
        <v>28</v>
      </c>
      <c r="C16" s="9" t="s">
        <v>158</v>
      </c>
      <c r="D16" s="9" t="s">
        <v>152</v>
      </c>
      <c r="E16" t="s">
        <v>21</v>
      </c>
      <c r="F16" s="10">
        <v>65</v>
      </c>
      <c r="G16" t="s">
        <v>125</v>
      </c>
      <c r="H16" t="s">
        <v>126</v>
      </c>
      <c r="I16">
        <v>89</v>
      </c>
      <c r="J16" t="s">
        <v>127</v>
      </c>
    </row>
    <row r="17" ht="32" customHeight="1" spans="1:10">
      <c r="A17" t="s">
        <v>159</v>
      </c>
      <c r="B17" t="s">
        <v>18</v>
      </c>
      <c r="C17" s="9" t="s">
        <v>160</v>
      </c>
      <c r="D17" s="9" t="s">
        <v>152</v>
      </c>
      <c r="E17" t="s">
        <v>21</v>
      </c>
      <c r="F17" s="10">
        <v>40</v>
      </c>
      <c r="G17" t="s">
        <v>125</v>
      </c>
      <c r="H17" t="s">
        <v>126</v>
      </c>
      <c r="I17">
        <v>89</v>
      </c>
      <c r="J17" t="s">
        <v>127</v>
      </c>
    </row>
    <row r="18" ht="32" customHeight="1" spans="1:10">
      <c r="A18" t="s">
        <v>161</v>
      </c>
      <c r="B18" t="s">
        <v>18</v>
      </c>
      <c r="C18" s="9" t="s">
        <v>162</v>
      </c>
      <c r="D18" s="9" t="s">
        <v>152</v>
      </c>
      <c r="E18" t="s">
        <v>21</v>
      </c>
      <c r="F18" s="10">
        <v>40</v>
      </c>
      <c r="G18" t="s">
        <v>125</v>
      </c>
      <c r="H18" t="s">
        <v>126</v>
      </c>
      <c r="I18">
        <v>89</v>
      </c>
      <c r="J18" t="s">
        <v>127</v>
      </c>
    </row>
    <row r="19" ht="32" customHeight="1" spans="1:10">
      <c r="A19" t="s">
        <v>163</v>
      </c>
      <c r="B19" t="s">
        <v>18</v>
      </c>
      <c r="C19" s="9" t="s">
        <v>164</v>
      </c>
      <c r="D19" s="9" t="s">
        <v>152</v>
      </c>
      <c r="E19" t="s">
        <v>21</v>
      </c>
      <c r="F19" s="10">
        <v>28</v>
      </c>
      <c r="G19" t="s">
        <v>125</v>
      </c>
      <c r="H19" t="s">
        <v>126</v>
      </c>
      <c r="I19">
        <v>89</v>
      </c>
      <c r="J19" t="s">
        <v>127</v>
      </c>
    </row>
    <row r="20" ht="32" customHeight="1" spans="1:10">
      <c r="A20" t="s">
        <v>165</v>
      </c>
      <c r="B20" t="s">
        <v>18</v>
      </c>
      <c r="C20" s="9" t="s">
        <v>166</v>
      </c>
      <c r="D20" s="9" t="s">
        <v>167</v>
      </c>
      <c r="E20" t="s">
        <v>21</v>
      </c>
      <c r="F20" s="10">
        <v>20</v>
      </c>
      <c r="G20" t="s">
        <v>125</v>
      </c>
      <c r="H20" t="s">
        <v>126</v>
      </c>
      <c r="I20">
        <v>89</v>
      </c>
      <c r="J20" t="s">
        <v>127</v>
      </c>
    </row>
    <row r="21" ht="32" customHeight="1" spans="1:10">
      <c r="A21" t="s">
        <v>168</v>
      </c>
      <c r="B21" t="s">
        <v>169</v>
      </c>
      <c r="C21" s="9" t="s">
        <v>170</v>
      </c>
      <c r="D21" s="9" t="s">
        <v>152</v>
      </c>
      <c r="E21" t="s">
        <v>21</v>
      </c>
      <c r="F21" s="10">
        <v>20</v>
      </c>
      <c r="G21" t="s">
        <v>125</v>
      </c>
      <c r="H21" t="s">
        <v>126</v>
      </c>
      <c r="I21">
        <v>89</v>
      </c>
      <c r="J21" t="s">
        <v>127</v>
      </c>
    </row>
    <row r="22" ht="32" customHeight="1" spans="1:10">
      <c r="A22" t="s">
        <v>171</v>
      </c>
      <c r="B22" t="s">
        <v>65</v>
      </c>
      <c r="C22" s="9" t="s">
        <v>172</v>
      </c>
      <c r="D22" s="9" t="s">
        <v>173</v>
      </c>
      <c r="E22" t="s">
        <v>21</v>
      </c>
      <c r="F22" s="10">
        <v>22</v>
      </c>
      <c r="G22" t="s">
        <v>125</v>
      </c>
      <c r="H22" t="s">
        <v>126</v>
      </c>
      <c r="I22">
        <v>90</v>
      </c>
      <c r="J22" t="s">
        <v>127</v>
      </c>
    </row>
    <row r="23" ht="32" customHeight="1" spans="1:10">
      <c r="A23" t="s">
        <v>174</v>
      </c>
      <c r="B23" t="s">
        <v>65</v>
      </c>
      <c r="C23" s="9" t="s">
        <v>175</v>
      </c>
      <c r="D23" s="9" t="s">
        <v>152</v>
      </c>
      <c r="E23" t="s">
        <v>21</v>
      </c>
      <c r="F23" s="10">
        <v>16</v>
      </c>
      <c r="G23" t="s">
        <v>125</v>
      </c>
      <c r="H23" t="s">
        <v>126</v>
      </c>
      <c r="I23">
        <v>90</v>
      </c>
      <c r="J23" t="s">
        <v>127</v>
      </c>
    </row>
    <row r="24" ht="32" customHeight="1" spans="1:10">
      <c r="A24" t="s">
        <v>176</v>
      </c>
      <c r="B24" t="s">
        <v>65</v>
      </c>
      <c r="C24" s="9" t="s">
        <v>177</v>
      </c>
      <c r="D24" s="9" t="s">
        <v>152</v>
      </c>
      <c r="E24" t="s">
        <v>21</v>
      </c>
      <c r="F24" s="10">
        <v>16</v>
      </c>
      <c r="G24" t="s">
        <v>125</v>
      </c>
      <c r="H24" t="s">
        <v>126</v>
      </c>
      <c r="I24">
        <v>90</v>
      </c>
      <c r="J24" t="s">
        <v>127</v>
      </c>
    </row>
    <row r="25" ht="32" customHeight="1" spans="1:10">
      <c r="A25" t="s">
        <v>178</v>
      </c>
      <c r="B25" t="s">
        <v>179</v>
      </c>
      <c r="C25" s="9" t="s">
        <v>180</v>
      </c>
      <c r="D25" s="9" t="s">
        <v>181</v>
      </c>
      <c r="E25" t="s">
        <v>21</v>
      </c>
      <c r="F25" s="10">
        <v>16</v>
      </c>
      <c r="G25" t="s">
        <v>125</v>
      </c>
      <c r="H25" t="s">
        <v>126</v>
      </c>
      <c r="I25">
        <v>90</v>
      </c>
      <c r="J25" t="s">
        <v>127</v>
      </c>
    </row>
    <row r="26" ht="32" customHeight="1" spans="1:10">
      <c r="A26" t="s">
        <v>182</v>
      </c>
      <c r="B26" t="s">
        <v>179</v>
      </c>
      <c r="C26" s="9" t="s">
        <v>183</v>
      </c>
      <c r="D26" s="9" t="s">
        <v>181</v>
      </c>
      <c r="E26" t="s">
        <v>21</v>
      </c>
      <c r="F26" s="10">
        <v>16</v>
      </c>
      <c r="G26" t="s">
        <v>125</v>
      </c>
      <c r="H26" t="s">
        <v>126</v>
      </c>
      <c r="I26">
        <v>90</v>
      </c>
      <c r="J26" t="s">
        <v>127</v>
      </c>
    </row>
    <row r="27" ht="32" customHeight="1" spans="1:10">
      <c r="A27" t="s">
        <v>184</v>
      </c>
      <c r="B27" t="s">
        <v>185</v>
      </c>
      <c r="C27" s="9" t="s">
        <v>186</v>
      </c>
      <c r="D27" s="9" t="s">
        <v>132</v>
      </c>
      <c r="E27" t="s">
        <v>21</v>
      </c>
      <c r="F27" s="10">
        <v>80</v>
      </c>
      <c r="G27" t="s">
        <v>125</v>
      </c>
      <c r="H27" t="s">
        <v>126</v>
      </c>
      <c r="I27">
        <v>91</v>
      </c>
      <c r="J27" t="s">
        <v>127</v>
      </c>
    </row>
    <row r="28" ht="32" customHeight="1" spans="1:10">
      <c r="A28" t="s">
        <v>187</v>
      </c>
      <c r="B28" t="s">
        <v>185</v>
      </c>
      <c r="C28" s="9" t="s">
        <v>188</v>
      </c>
      <c r="D28" s="9" t="s">
        <v>132</v>
      </c>
      <c r="E28" t="s">
        <v>21</v>
      </c>
      <c r="F28" s="10">
        <v>85</v>
      </c>
      <c r="G28" t="s">
        <v>125</v>
      </c>
      <c r="H28" t="s">
        <v>126</v>
      </c>
      <c r="I28">
        <v>91</v>
      </c>
      <c r="J28" t="s">
        <v>127</v>
      </c>
    </row>
    <row r="29" ht="32" customHeight="1" spans="1:10">
      <c r="A29" t="s">
        <v>189</v>
      </c>
      <c r="B29" t="s">
        <v>185</v>
      </c>
      <c r="C29" s="9" t="s">
        <v>190</v>
      </c>
      <c r="D29" s="9" t="s">
        <v>132</v>
      </c>
      <c r="E29" t="s">
        <v>21</v>
      </c>
      <c r="F29" s="10">
        <v>85</v>
      </c>
      <c r="G29" t="s">
        <v>125</v>
      </c>
      <c r="H29" t="s">
        <v>126</v>
      </c>
      <c r="I29">
        <v>91</v>
      </c>
      <c r="J29" t="s">
        <v>127</v>
      </c>
    </row>
  </sheetData>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0"/>
  <sheetViews>
    <sheetView showGridLines="0" workbookViewId="0">
      <selection activeCell="A1" sqref="A1:B1"/>
    </sheetView>
  </sheetViews>
  <sheetFormatPr defaultColWidth="9" defaultRowHeight="13.8" outlineLevelCol="1"/>
  <cols>
    <col min="1" max="1" width="18" customWidth="1"/>
    <col min="2" max="2" width="92" customWidth="1"/>
  </cols>
  <sheetData>
    <row r="1" ht="42" customHeight="1" spans="1:2">
      <c r="A1" s="1" t="s">
        <v>191</v>
      </c>
      <c r="B1" s="1" t="s">
        <v>191</v>
      </c>
    </row>
    <row r="3" ht="46" customHeight="1" spans="1:2">
      <c r="A3" s="2" t="s">
        <v>192</v>
      </c>
      <c r="B3" s="3" t="s">
        <v>193</v>
      </c>
    </row>
    <row r="4" ht="46" customHeight="1" spans="1:2">
      <c r="A4" s="4" t="s">
        <v>194</v>
      </c>
      <c r="B4" s="5" t="s">
        <v>195</v>
      </c>
    </row>
    <row r="5" ht="46" customHeight="1" spans="1:2">
      <c r="A5" s="4" t="s">
        <v>196</v>
      </c>
      <c r="B5" s="5" t="s">
        <v>197</v>
      </c>
    </row>
    <row r="6" ht="46" customHeight="1" spans="1:2">
      <c r="A6" s="4" t="s">
        <v>198</v>
      </c>
      <c r="B6" s="5" t="s">
        <v>199</v>
      </c>
    </row>
    <row r="7" ht="46" customHeight="1" spans="1:2">
      <c r="A7" s="4" t="s">
        <v>200</v>
      </c>
      <c r="B7" s="5" t="s">
        <v>201</v>
      </c>
    </row>
    <row r="8" ht="46" customHeight="1" spans="1:2">
      <c r="A8" s="4" t="s">
        <v>202</v>
      </c>
      <c r="B8" s="5" t="s">
        <v>203</v>
      </c>
    </row>
    <row r="9" ht="46" customHeight="1" spans="1:2">
      <c r="A9" s="4" t="s">
        <v>204</v>
      </c>
      <c r="B9" s="5" t="s">
        <v>205</v>
      </c>
    </row>
    <row r="10" ht="46" customHeight="1" spans="1:2">
      <c r="A10" s="6" t="s">
        <v>206</v>
      </c>
      <c r="B10" s="7" t="s">
        <v>207</v>
      </c>
    </row>
  </sheetData>
  <mergeCells count="1">
    <mergeCell ref="A1:B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价格库</vt:lpstr>
      <vt:lpstr>2026人工价参考</vt:lpstr>
      <vt:lpstr>使用说明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明风</cp:lastModifiedBy>
  <dcterms:created xsi:type="dcterms:W3CDTF">2026-09-03T11:49:35Z</dcterms:created>
  <dcterms:modified xsi:type="dcterms:W3CDTF">2026-09-03T11:54:51Z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E972CAE6E4054EA8A904D4DEFBB438B3_12</vt:lpwstr>
  </property>
  <property fmtid="{D5CDD505-2E9C-101B-9397-08002B2CF9AE}" pid="3" name="KSOProductBuildVer">
    <vt:lpwstr>2052-12.1.0.28043</vt:lpwstr>
  </property>
  <property fmtid="{D5CDD505-2E9C-101B-9397-08002B2CF9AE}" pid="4" name="CalculationRule">
    <vt:i4>0</vt:i4>
  </property>
</Properties>
</file>